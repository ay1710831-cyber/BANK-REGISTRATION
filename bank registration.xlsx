
<file path=[Content_Types].xml><?xml version="1.0" encoding="utf-8"?>
<Types xmlns="http://schemas.openxmlformats.org/package/2006/content-types">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trlProps/ctrlProp1.xml" ContentType="application/vnd.ms-excel.controlproperties+xml"/>
  <Override PartName="/xl/tables/table1.xml" ContentType="application/vnd.openxmlformats-officedocument.spreadsheetml.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codeName="ThisWorkbook" defaultThemeVersion="166925"/>
  <mc:AlternateContent xmlns:mc="http://schemas.openxmlformats.org/markup-compatibility/2006">
    <mc:Choice Requires="x15">
      <x15ac:absPath xmlns:x15ac="http://schemas.microsoft.com/office/spreadsheetml/2010/11/ac" url="C:\Users\Administrator\Desktop\anshika.yadav\"/>
    </mc:Choice>
  </mc:AlternateContent>
  <xr:revisionPtr revIDLastSave="0" documentId="13_ncr:1_{4F534846-42ED-42C2-963D-568A275B8785}" xr6:coauthVersionLast="36" xr6:coauthVersionMax="36" xr10:uidLastSave="{00000000-0000-0000-0000-000000000000}"/>
  <bookViews>
    <workbookView xWindow="0" yWindow="0" windowWidth="23040" windowHeight="8544" activeTab="1" xr2:uid="{D25EC504-F08F-4E91-8056-C4AA2B7388A9}"/>
  </bookViews>
  <sheets>
    <sheet name="Sheet1" sheetId="1" r:id="rId1"/>
    <sheet name="Sheet2" sheetId="2" r:id="rId2"/>
  </sheets>
  <definedNames>
    <definedName name="Slicer_a_c_Type">#N/A</definedName>
    <definedName name="Slicer_city">#N/A</definedName>
  </definedNames>
  <calcPr calcId="191029"/>
  <pivotCaches>
    <pivotCache cacheId="1" r:id="rId3"/>
  </pivotCaches>
  <extLs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12" i="1" l="1"/>
</calcChain>
</file>

<file path=xl/sharedStrings.xml><?xml version="1.0" encoding="utf-8"?>
<sst xmlns="http://schemas.openxmlformats.org/spreadsheetml/2006/main" count="99" uniqueCount="51">
  <si>
    <t>customer id</t>
  </si>
  <si>
    <t>customer name</t>
  </si>
  <si>
    <t>mobile no.</t>
  </si>
  <si>
    <t>a/c Type</t>
  </si>
  <si>
    <t>opening balance</t>
  </si>
  <si>
    <t>branch</t>
  </si>
  <si>
    <t>adress</t>
  </si>
  <si>
    <t>pincode</t>
  </si>
  <si>
    <t>city</t>
  </si>
  <si>
    <t>state</t>
  </si>
  <si>
    <t>C4001</t>
  </si>
  <si>
    <t>GAURAV</t>
  </si>
  <si>
    <t>saving</t>
  </si>
  <si>
    <t>MUMBAI</t>
  </si>
  <si>
    <t>FLAT NO.12, SHANTI APARTEMENT ,MULUND(W)</t>
  </si>
  <si>
    <t>MULUND</t>
  </si>
  <si>
    <t>MAHARASHTRA</t>
  </si>
  <si>
    <t>C4002</t>
  </si>
  <si>
    <t>SAKSHI</t>
  </si>
  <si>
    <t>current</t>
  </si>
  <si>
    <t>FLAT NO. 13, SHANTI NAGAR BHANDUP(W)</t>
  </si>
  <si>
    <t>BHANDUP</t>
  </si>
  <si>
    <t>C40023</t>
  </si>
  <si>
    <t>PRIYA</t>
  </si>
  <si>
    <t>AARTI</t>
  </si>
  <si>
    <t>FLAT NO. 13, SHANTI NAGAR ANDHERI(W)</t>
  </si>
  <si>
    <t>ANDHERI</t>
  </si>
  <si>
    <t>C40024</t>
  </si>
  <si>
    <t>YASH</t>
  </si>
  <si>
    <t>ASHA</t>
  </si>
  <si>
    <t>FLAT NO. 3 SAI KRUPA SOCIETY ANDHERI(E)</t>
  </si>
  <si>
    <t>C40025</t>
  </si>
  <si>
    <t>SANJU</t>
  </si>
  <si>
    <t>C40026</t>
  </si>
  <si>
    <t>KRISHNA</t>
  </si>
  <si>
    <t>C40027</t>
  </si>
  <si>
    <t>ROHIT</t>
  </si>
  <si>
    <t>FLAT NO.4, GANESH NAGAR , KANDIVALI(E)</t>
  </si>
  <si>
    <t>KAMDIVALI</t>
  </si>
  <si>
    <t>C40028</t>
  </si>
  <si>
    <t>POONAM</t>
  </si>
  <si>
    <t>Row Labels</t>
  </si>
  <si>
    <t>Grand Total</t>
  </si>
  <si>
    <t>Sum of opening balance</t>
  </si>
  <si>
    <t>PIVOT TABLE 1</t>
  </si>
  <si>
    <t>PIVOT TABLE 2</t>
  </si>
  <si>
    <t>Count of customer name</t>
  </si>
  <si>
    <t>PIVOT TABLE 3</t>
  </si>
  <si>
    <t>PIVOT TABLE 4</t>
  </si>
  <si>
    <t>BANK DASHBOARD</t>
  </si>
  <si>
    <t>KAnDIVALI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</si>
</sst>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28"/>
      <color rgb="FFFF0000"/>
      <name val="Calibri"/>
      <family val="2"/>
      <scheme val="minor"/>
    </font>
    <font>
      <sz val="11"/>
      <color rgb="FF000000"/>
      <name val="Calibri"/>
      <family val="2"/>
    </font>
  </fonts>
  <fills count="3">
    <fill>
      <patternFill patternType="none"/>
    </fill>
    <fill>
      <patternFill patternType="gray125"/>
    </fill>
    <fill>
      <patternFill patternType="solid">
        <fgColor rgb="FFFFC000"/>
        <bgColor indexed="64"/>
      </patternFill>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horizontal="center"/>
    </xf>
    <xf numFmtId="0" fontId="0" fillId="0" borderId="0" xfId="0" pivotButton="1"/>
    <xf numFmtId="0" fontId="0" fillId="0" borderId="0" xfId="0" applyAlignment="1">
      <alignment horizontal="left"/>
    </xf>
    <xf numFmtId="0" fontId="0" fillId="0" borderId="0" xfId="0" applyNumberFormat="1"/>
    <xf numFmtId="0" fontId="1" fillId="2" borderId="0" xfId="0" applyFont="1" applyFill="1" applyAlignment="1">
      <alignment horizontal="center"/>
    </xf>
  </cellXfs>
  <cellStyles count="1">
    <cellStyle name="Normal" xfId="0" builtinId="0"/>
  </cellStyles>
  <dxfs count="22">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s>
  <tableStyles count="0" defaultTableStyle="TableStyleMedium2" defaultPivotStyle="PivotStyleLight16"/>
  <colors>
    <mruColors>
      <color rgb="FFFF6565"/>
      <color rgb="FFFF5050"/>
      <color rgb="FFFF616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pivotCacheDefinition" Target="pivotCache/pivotCacheDefinition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2.xml"/><Relationship Id="rId4" Type="http://schemas.microsoft.com/office/2007/relationships/slicerCache" Target="slicerCaches/slicerCache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 registration.xlsx]Sheet1!PivotTable5</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pivotFmt>
      <c:pivotFmt>
        <c:idx val="5"/>
        <c:spPr>
          <a:solidFill>
            <a:srgbClr val="FF5050"/>
          </a:solidFill>
          <a:ln w="19050">
            <a:solidFill>
              <a:schemeClr val="lt1"/>
            </a:solidFill>
          </a:ln>
          <a:effectLst/>
        </c:spPr>
      </c:pivotFmt>
      <c:pivotFmt>
        <c:idx val="6"/>
        <c:spPr>
          <a:solidFill>
            <a:srgbClr val="002060"/>
          </a:solidFill>
          <a:ln w="19050">
            <a:solidFill>
              <a:schemeClr val="lt1"/>
            </a:solidFill>
          </a:ln>
          <a:effectLst/>
        </c:spPr>
      </c:pivotFmt>
    </c:pivotFmts>
    <c:plotArea>
      <c:layout/>
      <c:pieChart>
        <c:varyColors val="1"/>
        <c:ser>
          <c:idx val="0"/>
          <c:order val="0"/>
          <c:tx>
            <c:strRef>
              <c:f>Sheet1!$D$23</c:f>
              <c:strCache>
                <c:ptCount val="1"/>
                <c:pt idx="0">
                  <c:v>Total</c:v>
                </c:pt>
              </c:strCache>
            </c:strRef>
          </c:tx>
          <c:dPt>
            <c:idx val="0"/>
            <c:bubble3D val="0"/>
            <c:spPr>
              <a:solidFill>
                <a:srgbClr val="FF5050"/>
              </a:solidFill>
              <a:ln w="19050">
                <a:solidFill>
                  <a:schemeClr val="lt1"/>
                </a:solidFill>
              </a:ln>
              <a:effectLst/>
            </c:spPr>
            <c:extLst>
              <c:ext xmlns:c16="http://schemas.microsoft.com/office/drawing/2014/chart" uri="{C3380CC4-5D6E-409C-BE32-E72D297353CC}">
                <c16:uniqueId val="{00000001-CC1B-434F-9313-DCD6016581B5}"/>
              </c:ext>
            </c:extLst>
          </c:dPt>
          <c:dPt>
            <c:idx val="1"/>
            <c:bubble3D val="0"/>
            <c:spPr>
              <a:solidFill>
                <a:srgbClr val="002060"/>
              </a:solidFill>
              <a:ln w="19050">
                <a:solidFill>
                  <a:schemeClr val="lt1"/>
                </a:solidFill>
              </a:ln>
              <a:effectLst/>
            </c:spPr>
            <c:extLst>
              <c:ext xmlns:c16="http://schemas.microsoft.com/office/drawing/2014/chart" uri="{C3380CC4-5D6E-409C-BE32-E72D297353CC}">
                <c16:uniqueId val="{00000003-CC1B-434F-9313-DCD6016581B5}"/>
              </c:ext>
            </c:extLst>
          </c:dPt>
          <c:cat>
            <c:strRef>
              <c:f>Sheet1!$C$24:$C$26</c:f>
              <c:strCache>
                <c:ptCount val="2"/>
                <c:pt idx="0">
                  <c:v>saving</c:v>
                </c:pt>
                <c:pt idx="1">
                  <c:v>current</c:v>
                </c:pt>
              </c:strCache>
            </c:strRef>
          </c:cat>
          <c:val>
            <c:numRef>
              <c:f>Sheet1!$D$24:$D$26</c:f>
              <c:numCache>
                <c:formatCode>General</c:formatCode>
                <c:ptCount val="2"/>
                <c:pt idx="0">
                  <c:v>600000</c:v>
                </c:pt>
                <c:pt idx="1">
                  <c:v>331000</c:v>
                </c:pt>
              </c:numCache>
            </c:numRef>
          </c:val>
          <c:extLst>
            <c:ext xmlns:c16="http://schemas.microsoft.com/office/drawing/2014/chart" uri="{C3380CC4-5D6E-409C-BE32-E72D297353CC}">
              <c16:uniqueId val="{00000004-CC1B-434F-9313-DCD6016581B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60000"/>
        <a:lumOff val="4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 registration.xlsx]Sheet1!PivotTable7</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rgbClr val="FF5050"/>
          </a:solidFill>
          <a:ln>
            <a:noFill/>
          </a:ln>
          <a:effectLst/>
        </c:spPr>
        <c:marker>
          <c:symbol val="none"/>
        </c:marker>
      </c:pivotFmt>
    </c:pivotFmts>
    <c:plotArea>
      <c:layout/>
      <c:barChart>
        <c:barDir val="col"/>
        <c:grouping val="clustered"/>
        <c:varyColors val="0"/>
        <c:ser>
          <c:idx val="0"/>
          <c:order val="0"/>
          <c:tx>
            <c:strRef>
              <c:f>Sheet1!$F$23</c:f>
              <c:strCache>
                <c:ptCount val="1"/>
                <c:pt idx="0">
                  <c:v>Total</c:v>
                </c:pt>
              </c:strCache>
            </c:strRef>
          </c:tx>
          <c:spPr>
            <a:solidFill>
              <a:srgbClr val="FF5050"/>
            </a:solidFill>
            <a:ln>
              <a:noFill/>
            </a:ln>
            <a:effectLst/>
          </c:spPr>
          <c:invertIfNegative val="0"/>
          <c:cat>
            <c:strRef>
              <c:f>Sheet1!$E$24:$E$28</c:f>
              <c:strCache>
                <c:ptCount val="4"/>
                <c:pt idx="0">
                  <c:v>BHANDUP</c:v>
                </c:pt>
                <c:pt idx="1">
                  <c:v>MULUND</c:v>
                </c:pt>
                <c:pt idx="2">
                  <c:v>ANDHERI</c:v>
                </c:pt>
                <c:pt idx="3">
                  <c:v>KAnDIVALI</c:v>
                </c:pt>
              </c:strCache>
            </c:strRef>
          </c:cat>
          <c:val>
            <c:numRef>
              <c:f>Sheet1!$F$24:$F$28</c:f>
              <c:numCache>
                <c:formatCode>General</c:formatCode>
                <c:ptCount val="4"/>
                <c:pt idx="0">
                  <c:v>76000</c:v>
                </c:pt>
                <c:pt idx="1">
                  <c:v>60000</c:v>
                </c:pt>
                <c:pt idx="2">
                  <c:v>520000</c:v>
                </c:pt>
                <c:pt idx="3">
                  <c:v>275000</c:v>
                </c:pt>
              </c:numCache>
            </c:numRef>
          </c:val>
          <c:extLst>
            <c:ext xmlns:c16="http://schemas.microsoft.com/office/drawing/2014/chart" uri="{C3380CC4-5D6E-409C-BE32-E72D297353CC}">
              <c16:uniqueId val="{00000000-BAE2-4F22-A7FE-8C71755381FD}"/>
            </c:ext>
          </c:extLst>
        </c:ser>
        <c:dLbls>
          <c:showLegendKey val="0"/>
          <c:showVal val="0"/>
          <c:showCatName val="0"/>
          <c:showSerName val="0"/>
          <c:showPercent val="0"/>
          <c:showBubbleSize val="0"/>
        </c:dLbls>
        <c:gapWidth val="219"/>
        <c:overlap val="-27"/>
        <c:axId val="1686129615"/>
        <c:axId val="2085414143"/>
      </c:barChart>
      <c:catAx>
        <c:axId val="16861296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5414143"/>
        <c:crosses val="autoZero"/>
        <c:auto val="1"/>
        <c:lblAlgn val="ctr"/>
        <c:lblOffset val="100"/>
        <c:noMultiLvlLbl val="0"/>
      </c:catAx>
      <c:valAx>
        <c:axId val="208541414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61296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Button" lockText="1"/>
</file>

<file path=xl/drawings/_rels/drawing2.x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emf"/><Relationship Id="rId6" Type="http://schemas.openxmlformats.org/officeDocument/2006/relationships/chart" Target="../charts/chart2.xml"/><Relationship Id="rId5" Type="http://schemas.openxmlformats.org/officeDocument/2006/relationships/chart" Target="../charts/chart1.xml"/><Relationship Id="rId4"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xdr:col>
          <xdr:colOff>396240</xdr:colOff>
          <xdr:row>14</xdr:row>
          <xdr:rowOff>7620</xdr:rowOff>
        </xdr:from>
        <xdr:to>
          <xdr:col>3</xdr:col>
          <xdr:colOff>205740</xdr:colOff>
          <xdr:row>17</xdr:row>
          <xdr:rowOff>91440</xdr:rowOff>
        </xdr:to>
        <xdr:sp macro="" textlink="">
          <xdr:nvSpPr>
            <xdr:cNvPr id="1029" name="Button 5" hidden="1">
              <a:extLst>
                <a:ext uri="{63B3BB69-23CF-44E3-9099-C40C66FF867C}">
                  <a14:compatExt spid="_x0000_s1029"/>
                </a:ext>
                <a:ext uri="{FF2B5EF4-FFF2-40B4-BE49-F238E27FC236}">
                  <a16:creationId xmlns:a16="http://schemas.microsoft.com/office/drawing/2014/main" id="{00000000-0008-0000-0000-000005040000}"/>
                </a:ext>
              </a:extLst>
            </xdr:cNvPr>
            <xdr:cNvSpPr/>
          </xdr:nvSpPr>
          <xdr:spPr bwMode="auto">
            <a:xfrm>
              <a:off x="0" y="0"/>
              <a:ext cx="0" cy="0"/>
            </a:xfrm>
            <a:prstGeom prst="rect">
              <a:avLst/>
            </a:prstGeom>
            <a:noFill/>
            <a:ln w="9525">
              <a:miter lim="800000"/>
              <a:headEnd/>
              <a:tailEnd/>
            </a:ln>
          </xdr:spPr>
          <xdr:txBody>
            <a:bodyPr vertOverflow="clip" wrap="square" lIns="36576" tIns="32004" rIns="36576" bIns="32004" anchor="ctr" upright="1"/>
            <a:lstStyle/>
            <a:p>
              <a:pPr algn="ctr" rtl="0">
                <a:defRPr sz="1000"/>
              </a:pPr>
              <a:r>
                <a:rPr lang="en-IN" sz="1100" b="0" i="0" u="none" strike="noStrike" baseline="0">
                  <a:solidFill>
                    <a:srgbClr val="000000"/>
                  </a:solidFill>
                  <a:latin typeface="Calibri"/>
                  <a:cs typeface="Calibri"/>
                </a:rPr>
                <a:t>bank registration</a:t>
              </a:r>
            </a:p>
          </xdr:txBody>
        </xdr:sp>
        <xdr:clientData fPrintsWithSheet="0"/>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0</xdr:col>
      <xdr:colOff>320040</xdr:colOff>
      <xdr:row>3</xdr:row>
      <xdr:rowOff>22860</xdr:rowOff>
    </xdr:from>
    <xdr:to>
      <xdr:col>3</xdr:col>
      <xdr:colOff>182880</xdr:colOff>
      <xdr:row>9</xdr:row>
      <xdr:rowOff>15240</xdr:rowOff>
    </xdr:to>
    <xdr:sp macro="" textlink="">
      <xdr:nvSpPr>
        <xdr:cNvPr id="5" name="Rectangle 4">
          <a:extLst>
            <a:ext uri="{FF2B5EF4-FFF2-40B4-BE49-F238E27FC236}">
              <a16:creationId xmlns:a16="http://schemas.microsoft.com/office/drawing/2014/main" id="{00000000-0008-0000-0100-000005000000}"/>
            </a:ext>
          </a:extLst>
        </xdr:cNvPr>
        <xdr:cNvSpPr/>
      </xdr:nvSpPr>
      <xdr:spPr>
        <a:xfrm>
          <a:off x="320040" y="571500"/>
          <a:ext cx="2819400" cy="1089660"/>
        </a:xfrm>
        <a:prstGeom prst="rect">
          <a:avLst/>
        </a:prstGeom>
        <a:solidFill>
          <a:srgbClr val="FF6565"/>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solidFill>
                <a:schemeClr val="tx1"/>
              </a:solidFill>
            </a:ln>
            <a:solidFill>
              <a:schemeClr val="accent2">
                <a:lumMod val="75000"/>
              </a:schemeClr>
            </a:solidFill>
            <a:effectLst/>
          </a:endParaRPr>
        </a:p>
      </xdr:txBody>
    </xdr:sp>
    <xdr:clientData/>
  </xdr:twoCellAnchor>
  <xdr:twoCellAnchor>
    <xdr:from>
      <xdr:col>3</xdr:col>
      <xdr:colOff>723900</xdr:colOff>
      <xdr:row>3</xdr:row>
      <xdr:rowOff>15240</xdr:rowOff>
    </xdr:from>
    <xdr:to>
      <xdr:col>6</xdr:col>
      <xdr:colOff>586740</xdr:colOff>
      <xdr:row>9</xdr:row>
      <xdr:rowOff>7620</xdr:rowOff>
    </xdr:to>
    <xdr:sp macro="" textlink="">
      <xdr:nvSpPr>
        <xdr:cNvPr id="6" name="Rectangle 5">
          <a:extLst>
            <a:ext uri="{FF2B5EF4-FFF2-40B4-BE49-F238E27FC236}">
              <a16:creationId xmlns:a16="http://schemas.microsoft.com/office/drawing/2014/main" id="{00000000-0008-0000-0100-000006000000}"/>
            </a:ext>
          </a:extLst>
        </xdr:cNvPr>
        <xdr:cNvSpPr/>
      </xdr:nvSpPr>
      <xdr:spPr>
        <a:xfrm>
          <a:off x="3680460" y="563880"/>
          <a:ext cx="2819400" cy="1089660"/>
        </a:xfrm>
        <a:prstGeom prst="rect">
          <a:avLst/>
        </a:prstGeom>
        <a:solidFill>
          <a:srgbClr val="FF6565"/>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0</xdr:colOff>
      <xdr:row>3</xdr:row>
      <xdr:rowOff>15240</xdr:rowOff>
    </xdr:from>
    <xdr:to>
      <xdr:col>12</xdr:col>
      <xdr:colOff>381000</xdr:colOff>
      <xdr:row>9</xdr:row>
      <xdr:rowOff>7620</xdr:rowOff>
    </xdr:to>
    <xdr:sp macro="" textlink="">
      <xdr:nvSpPr>
        <xdr:cNvPr id="7" name="Rectangle 6">
          <a:extLst>
            <a:ext uri="{FF2B5EF4-FFF2-40B4-BE49-F238E27FC236}">
              <a16:creationId xmlns:a16="http://schemas.microsoft.com/office/drawing/2014/main" id="{00000000-0008-0000-0100-000007000000}"/>
            </a:ext>
          </a:extLst>
        </xdr:cNvPr>
        <xdr:cNvSpPr/>
      </xdr:nvSpPr>
      <xdr:spPr>
        <a:xfrm>
          <a:off x="7132320" y="563880"/>
          <a:ext cx="2819400" cy="1089660"/>
        </a:xfrm>
        <a:prstGeom prst="rect">
          <a:avLst/>
        </a:prstGeom>
        <a:solidFill>
          <a:srgbClr val="FF6565"/>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647700</xdr:colOff>
      <xdr:row>4</xdr:row>
      <xdr:rowOff>38100</xdr:rowOff>
    </xdr:from>
    <xdr:to>
      <xdr:col>2</xdr:col>
      <xdr:colOff>263652</xdr:colOff>
      <xdr:row>6</xdr:row>
      <xdr:rowOff>22860</xdr:rowOff>
    </xdr:to>
    <xdr:pic>
      <xdr:nvPicPr>
        <xdr:cNvPr id="9" name="Picture 8">
          <a:extLst>
            <a:ext uri="{FF2B5EF4-FFF2-40B4-BE49-F238E27FC236}">
              <a16:creationId xmlns:a16="http://schemas.microsoft.com/office/drawing/2014/main" id="{00000000-0008-0000-0100-00000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47700" y="769620"/>
          <a:ext cx="1962912" cy="3505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373380</xdr:colOff>
      <xdr:row>3</xdr:row>
      <xdr:rowOff>137160</xdr:rowOff>
    </xdr:from>
    <xdr:to>
      <xdr:col>6</xdr:col>
      <xdr:colOff>129540</xdr:colOff>
      <xdr:row>5</xdr:row>
      <xdr:rowOff>91440</xdr:rowOff>
    </xdr:to>
    <xdr:pic>
      <xdr:nvPicPr>
        <xdr:cNvPr id="10" name="Picture 9">
          <a:extLst>
            <a:ext uri="{FF2B5EF4-FFF2-40B4-BE49-F238E27FC236}">
              <a16:creationId xmlns:a16="http://schemas.microsoft.com/office/drawing/2014/main" id="{00000000-0008-0000-0100-00000A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191000" y="685800"/>
          <a:ext cx="1851660" cy="3200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373380</xdr:colOff>
      <xdr:row>3</xdr:row>
      <xdr:rowOff>15240</xdr:rowOff>
    </xdr:from>
    <xdr:to>
      <xdr:col>17</xdr:col>
      <xdr:colOff>144780</xdr:colOff>
      <xdr:row>9</xdr:row>
      <xdr:rowOff>7620</xdr:rowOff>
    </xdr:to>
    <xdr:sp macro="" textlink="">
      <xdr:nvSpPr>
        <xdr:cNvPr id="11" name="Rectangle 10">
          <a:extLst>
            <a:ext uri="{FF2B5EF4-FFF2-40B4-BE49-F238E27FC236}">
              <a16:creationId xmlns:a16="http://schemas.microsoft.com/office/drawing/2014/main" id="{00000000-0008-0000-0100-00000B000000}"/>
            </a:ext>
          </a:extLst>
        </xdr:cNvPr>
        <xdr:cNvSpPr/>
      </xdr:nvSpPr>
      <xdr:spPr>
        <a:xfrm>
          <a:off x="9944100" y="563880"/>
          <a:ext cx="2819400" cy="1089660"/>
        </a:xfrm>
        <a:prstGeom prst="rect">
          <a:avLst/>
        </a:prstGeom>
        <a:solidFill>
          <a:srgbClr val="FF6565"/>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9</xdr:col>
      <xdr:colOff>106680</xdr:colOff>
      <xdr:row>3</xdr:row>
      <xdr:rowOff>106680</xdr:rowOff>
    </xdr:from>
    <xdr:to>
      <xdr:col>11</xdr:col>
      <xdr:colOff>228600</xdr:colOff>
      <xdr:row>5</xdr:row>
      <xdr:rowOff>76200</xdr:rowOff>
    </xdr:to>
    <xdr:pic>
      <xdr:nvPicPr>
        <xdr:cNvPr id="12" name="Picture 11">
          <a:extLst>
            <a:ext uri="{FF2B5EF4-FFF2-40B4-BE49-F238E27FC236}">
              <a16:creationId xmlns:a16="http://schemas.microsoft.com/office/drawing/2014/main" id="{00000000-0008-0000-0100-00000C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7848600" y="655320"/>
          <a:ext cx="1341120" cy="3352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518160</xdr:colOff>
      <xdr:row>3</xdr:row>
      <xdr:rowOff>152400</xdr:rowOff>
    </xdr:from>
    <xdr:to>
      <xdr:col>16</xdr:col>
      <xdr:colOff>182880</xdr:colOff>
      <xdr:row>5</xdr:row>
      <xdr:rowOff>91440</xdr:rowOff>
    </xdr:to>
    <xdr:pic>
      <xdr:nvPicPr>
        <xdr:cNvPr id="13" name="Picture 12">
          <a:extLst>
            <a:ext uri="{FF2B5EF4-FFF2-40B4-BE49-F238E27FC236}">
              <a16:creationId xmlns:a16="http://schemas.microsoft.com/office/drawing/2014/main" id="{00000000-0008-0000-0100-00000D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0698480" y="701040"/>
          <a:ext cx="1493520" cy="304800"/>
        </a:xfrm>
        <a:prstGeom prst="rect">
          <a:avLst/>
        </a:prstGeom>
        <a:noFill/>
        <a:ln>
          <a:noFill/>
        </a:ln>
        <a:extLst>
          <a:ext uri="{909E8E84-426E-40DD-AFC4-6F175D3DCCD1}">
            <a14:hiddenFill xmlns:a14="http://schemas.microsoft.com/office/drawing/2010/main">
              <a:solidFill>
                <a:srgbClr val="FFFFFF"/>
              </a:solidFill>
            </a14:hiddenFill>
          </a:ext>
        </a:extLst>
      </xdr:spPr>
    </xdr:pic>
    <xdr:clientData/>
  </xdr:twoCellAnchor>
  <xdr:twoCellAnchor>
    <xdr:from>
      <xdr:col>0</xdr:col>
      <xdr:colOff>685800</xdr:colOff>
      <xdr:row>6</xdr:row>
      <xdr:rowOff>106680</xdr:rowOff>
    </xdr:from>
    <xdr:to>
      <xdr:col>1</xdr:col>
      <xdr:colOff>1432560</xdr:colOff>
      <xdr:row>8</xdr:row>
      <xdr:rowOff>15239</xdr:rowOff>
    </xdr:to>
    <xdr:sp macro="" textlink="">
      <xdr:nvSpPr>
        <xdr:cNvPr id="14" name="TextBox 13">
          <a:extLst>
            <a:ext uri="{FF2B5EF4-FFF2-40B4-BE49-F238E27FC236}">
              <a16:creationId xmlns:a16="http://schemas.microsoft.com/office/drawing/2014/main" id="{00000000-0008-0000-0100-00000E000000}"/>
            </a:ext>
          </a:extLst>
        </xdr:cNvPr>
        <xdr:cNvSpPr txBox="1"/>
      </xdr:nvSpPr>
      <xdr:spPr>
        <a:xfrm>
          <a:off x="685800" y="1203960"/>
          <a:ext cx="1607820" cy="274319"/>
        </a:xfrm>
        <a:prstGeom prst="rect">
          <a:avLst/>
        </a:prstGeom>
        <a:solidFill>
          <a:srgbClr val="FF6565"/>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a:t>TOTAL BALANCE</a:t>
          </a:r>
        </a:p>
        <a:p>
          <a:pPr algn="ctr"/>
          <a:endParaRPr lang="en-IN" sz="1100"/>
        </a:p>
      </xdr:txBody>
    </xdr:sp>
    <xdr:clientData/>
  </xdr:twoCellAnchor>
  <xdr:twoCellAnchor>
    <xdr:from>
      <xdr:col>4</xdr:col>
      <xdr:colOff>396240</xdr:colOff>
      <xdr:row>5</xdr:row>
      <xdr:rowOff>144780</xdr:rowOff>
    </xdr:from>
    <xdr:to>
      <xdr:col>6</xdr:col>
      <xdr:colOff>22860</xdr:colOff>
      <xdr:row>7</xdr:row>
      <xdr:rowOff>38100</xdr:rowOff>
    </xdr:to>
    <xdr:sp macro="" textlink="">
      <xdr:nvSpPr>
        <xdr:cNvPr id="15" name="TextBox 14">
          <a:extLst>
            <a:ext uri="{FF2B5EF4-FFF2-40B4-BE49-F238E27FC236}">
              <a16:creationId xmlns:a16="http://schemas.microsoft.com/office/drawing/2014/main" id="{00000000-0008-0000-0100-00000F000000}"/>
            </a:ext>
          </a:extLst>
        </xdr:cNvPr>
        <xdr:cNvSpPr txBox="1"/>
      </xdr:nvSpPr>
      <xdr:spPr>
        <a:xfrm>
          <a:off x="4213860" y="1059180"/>
          <a:ext cx="1722120" cy="259080"/>
        </a:xfrm>
        <a:prstGeom prst="rect">
          <a:avLst/>
        </a:prstGeom>
        <a:solidFill>
          <a:srgbClr val="FF6565"/>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a:t>CUSTOMER COUNT</a:t>
          </a:r>
        </a:p>
        <a:p>
          <a:endParaRPr lang="en-IN" sz="1100"/>
        </a:p>
      </xdr:txBody>
    </xdr:sp>
    <xdr:clientData/>
  </xdr:twoCellAnchor>
  <xdr:twoCellAnchor>
    <xdr:from>
      <xdr:col>8</xdr:col>
      <xdr:colOff>342900</xdr:colOff>
      <xdr:row>5</xdr:row>
      <xdr:rowOff>167640</xdr:rowOff>
    </xdr:from>
    <xdr:to>
      <xdr:col>11</xdr:col>
      <xdr:colOff>411480</xdr:colOff>
      <xdr:row>7</xdr:row>
      <xdr:rowOff>99060</xdr:rowOff>
    </xdr:to>
    <xdr:sp macro="" textlink="">
      <xdr:nvSpPr>
        <xdr:cNvPr id="16" name="TextBox 15">
          <a:extLst>
            <a:ext uri="{FF2B5EF4-FFF2-40B4-BE49-F238E27FC236}">
              <a16:creationId xmlns:a16="http://schemas.microsoft.com/office/drawing/2014/main" id="{00000000-0008-0000-0100-000010000000}"/>
            </a:ext>
          </a:extLst>
        </xdr:cNvPr>
        <xdr:cNvSpPr txBox="1"/>
      </xdr:nvSpPr>
      <xdr:spPr>
        <a:xfrm>
          <a:off x="7475220" y="1082040"/>
          <a:ext cx="1897380" cy="297180"/>
        </a:xfrm>
        <a:prstGeom prst="rect">
          <a:avLst/>
        </a:prstGeom>
        <a:solidFill>
          <a:srgbClr val="FF6565"/>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0" cap="none" spc="0">
              <a:ln w="0"/>
              <a:solidFill>
                <a:schemeClr val="tx1"/>
              </a:solidFill>
              <a:effectLst>
                <a:outerShdw blurRad="38100" dist="19050" dir="2700000" algn="tl" rotWithShape="0">
                  <a:schemeClr val="dk1">
                    <a:alpha val="40000"/>
                  </a:schemeClr>
                </a:outerShdw>
              </a:effectLst>
            </a:rPr>
            <a:t>SAVING</a:t>
          </a:r>
          <a:r>
            <a:rPr lang="en-IN" sz="1100"/>
            <a:t> ACCOUNT</a:t>
          </a:r>
        </a:p>
      </xdr:txBody>
    </xdr:sp>
    <xdr:clientData/>
  </xdr:twoCellAnchor>
  <xdr:twoCellAnchor>
    <xdr:from>
      <xdr:col>13</xdr:col>
      <xdr:colOff>281940</xdr:colOff>
      <xdr:row>6</xdr:row>
      <xdr:rowOff>38100</xdr:rowOff>
    </xdr:from>
    <xdr:to>
      <xdr:col>16</xdr:col>
      <xdr:colOff>175260</xdr:colOff>
      <xdr:row>7</xdr:row>
      <xdr:rowOff>121920</xdr:rowOff>
    </xdr:to>
    <xdr:sp macro="" textlink="">
      <xdr:nvSpPr>
        <xdr:cNvPr id="17" name="TextBox 16">
          <a:extLst>
            <a:ext uri="{FF2B5EF4-FFF2-40B4-BE49-F238E27FC236}">
              <a16:creationId xmlns:a16="http://schemas.microsoft.com/office/drawing/2014/main" id="{00000000-0008-0000-0100-000011000000}"/>
            </a:ext>
          </a:extLst>
        </xdr:cNvPr>
        <xdr:cNvSpPr txBox="1"/>
      </xdr:nvSpPr>
      <xdr:spPr>
        <a:xfrm>
          <a:off x="10462260" y="1135380"/>
          <a:ext cx="1722120" cy="266700"/>
        </a:xfrm>
        <a:prstGeom prst="rect">
          <a:avLst/>
        </a:prstGeom>
        <a:solidFill>
          <a:srgbClr val="FF6565"/>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a:t>CURRENT ACCOUNT</a:t>
          </a:r>
        </a:p>
      </xdr:txBody>
    </xdr:sp>
    <xdr:clientData/>
  </xdr:twoCellAnchor>
  <xdr:twoCellAnchor>
    <xdr:from>
      <xdr:col>0</xdr:col>
      <xdr:colOff>327660</xdr:colOff>
      <xdr:row>10</xdr:row>
      <xdr:rowOff>38100</xdr:rowOff>
    </xdr:from>
    <xdr:to>
      <xdr:col>6</xdr:col>
      <xdr:colOff>571500</xdr:colOff>
      <xdr:row>27</xdr:row>
      <xdr:rowOff>167640</xdr:rowOff>
    </xdr:to>
    <xdr:graphicFrame macro="">
      <xdr:nvGraphicFramePr>
        <xdr:cNvPr id="18" name="Chart 17">
          <a:extLst>
            <a:ext uri="{FF2B5EF4-FFF2-40B4-BE49-F238E27FC236}">
              <a16:creationId xmlns:a16="http://schemas.microsoft.com/office/drawing/2014/main" id="{00000000-0008-0000-0100-00001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0</xdr:colOff>
      <xdr:row>10</xdr:row>
      <xdr:rowOff>60960</xdr:rowOff>
    </xdr:from>
    <xdr:to>
      <xdr:col>17</xdr:col>
      <xdr:colOff>167640</xdr:colOff>
      <xdr:row>27</xdr:row>
      <xdr:rowOff>160020</xdr:rowOff>
    </xdr:to>
    <xdr:graphicFrame macro="">
      <xdr:nvGraphicFramePr>
        <xdr:cNvPr id="19" name="Chart 18">
          <a:extLst>
            <a:ext uri="{FF2B5EF4-FFF2-40B4-BE49-F238E27FC236}">
              <a16:creationId xmlns:a16="http://schemas.microsoft.com/office/drawing/2014/main" id="{00000000-0008-0000-0100-00001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335280</xdr:colOff>
      <xdr:row>28</xdr:row>
      <xdr:rowOff>45721</xdr:rowOff>
    </xdr:from>
    <xdr:to>
      <xdr:col>1</xdr:col>
      <xdr:colOff>1303020</xdr:colOff>
      <xdr:row>32</xdr:row>
      <xdr:rowOff>175261</xdr:rowOff>
    </xdr:to>
    <mc:AlternateContent xmlns:mc="http://schemas.openxmlformats.org/markup-compatibility/2006" xmlns:a14="http://schemas.microsoft.com/office/drawing/2010/main">
      <mc:Choice Requires="a14">
        <xdr:graphicFrame macro="">
          <xdr:nvGraphicFramePr>
            <xdr:cNvPr id="20" name="a/c Type">
              <a:extLst>
                <a:ext uri="{FF2B5EF4-FFF2-40B4-BE49-F238E27FC236}">
                  <a16:creationId xmlns:a16="http://schemas.microsoft.com/office/drawing/2014/main" id="{00000000-0008-0000-0100-000014000000}"/>
                </a:ext>
              </a:extLst>
            </xdr:cNvPr>
            <xdr:cNvGraphicFramePr/>
          </xdr:nvGraphicFramePr>
          <xdr:xfrm>
            <a:off x="0" y="0"/>
            <a:ext cx="0" cy="0"/>
          </xdr:xfrm>
          <a:graphic>
            <a:graphicData uri="http://schemas.microsoft.com/office/drawing/2010/slicer">
              <sle:slicer xmlns:sle="http://schemas.microsoft.com/office/drawing/2010/slicer" name="a/c Type"/>
            </a:graphicData>
          </a:graphic>
        </xdr:graphicFrame>
      </mc:Choice>
      <mc:Fallback xmlns="">
        <xdr:sp macro="" textlink="">
          <xdr:nvSpPr>
            <xdr:cNvPr id="0" name=""/>
            <xdr:cNvSpPr>
              <a:spLocks noTextEdit="1"/>
            </xdr:cNvSpPr>
          </xdr:nvSpPr>
          <xdr:spPr>
            <a:xfrm>
              <a:off x="335280" y="51663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1440180</xdr:colOff>
      <xdr:row>28</xdr:row>
      <xdr:rowOff>53341</xdr:rowOff>
    </xdr:from>
    <xdr:to>
      <xdr:col>4</xdr:col>
      <xdr:colOff>312420</xdr:colOff>
      <xdr:row>35</xdr:row>
      <xdr:rowOff>175261</xdr:rowOff>
    </xdr:to>
    <mc:AlternateContent xmlns:mc="http://schemas.openxmlformats.org/markup-compatibility/2006" xmlns:a14="http://schemas.microsoft.com/office/drawing/2010/main">
      <mc:Choice Requires="a14">
        <xdr:graphicFrame macro="">
          <xdr:nvGraphicFramePr>
            <xdr:cNvPr id="21" name="city">
              <a:extLst>
                <a:ext uri="{FF2B5EF4-FFF2-40B4-BE49-F238E27FC236}">
                  <a16:creationId xmlns:a16="http://schemas.microsoft.com/office/drawing/2014/main" id="{00000000-0008-0000-0100-000015000000}"/>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2301240" y="51739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istrator" refreshedDate="46058.502654629629" createdVersion="6" refreshedVersion="6" minRefreshableVersion="3" recordCount="10" xr:uid="{13FDFF4D-56A1-45CC-862A-BAACC5F477F7}">
  <cacheSource type="worksheet">
    <worksheetSource name="Table1"/>
  </cacheSource>
  <cacheFields count="10">
    <cacheField name="customer id" numFmtId="0">
      <sharedItems/>
    </cacheField>
    <cacheField name="customer name" numFmtId="0">
      <sharedItems count="10">
        <s v="GAURAV"/>
        <s v="SAKSHI"/>
        <s v="PRIYA"/>
        <s v="AARTI"/>
        <s v="YASH"/>
        <s v="ASHA"/>
        <s v="SANJU"/>
        <s v="KRISHNA"/>
        <s v="ROHIT"/>
        <s v="POONAM"/>
      </sharedItems>
    </cacheField>
    <cacheField name="mobile no." numFmtId="0">
      <sharedItems containsSemiMixedTypes="0" containsString="0" containsNumber="1" containsInteger="1" minValue="8108127504" maxValue="9702148506"/>
    </cacheField>
    <cacheField name="a/c Type" numFmtId="0">
      <sharedItems count="2">
        <s v="saving"/>
        <s v="current"/>
      </sharedItems>
    </cacheField>
    <cacheField name="opening balance" numFmtId="0">
      <sharedItems containsSemiMixedTypes="0" containsString="0" containsNumber="1" containsInteger="1" minValue="6000" maxValue="250000" count="8">
        <n v="60000"/>
        <n v="6000"/>
        <n v="70000"/>
        <n v="100000"/>
        <n v="20000"/>
        <n v="200000"/>
        <n v="250000"/>
        <n v="25000"/>
      </sharedItems>
    </cacheField>
    <cacheField name="branch" numFmtId="0">
      <sharedItems/>
    </cacheField>
    <cacheField name="adress" numFmtId="0">
      <sharedItems/>
    </cacheField>
    <cacheField name="pincode" numFmtId="0">
      <sharedItems containsSemiMixedTypes="0" containsString="0" containsNumber="1" containsInteger="1" minValue="40708" maxValue="400080"/>
    </cacheField>
    <cacheField name="city" numFmtId="0">
      <sharedItems count="4">
        <s v="MULUND"/>
        <s v="BHANDUP"/>
        <s v="ANDHERI"/>
        <s v="KAMDIVALI"/>
      </sharedItems>
    </cacheField>
    <cacheField name="state" numFmtId="0">
      <sharedItems/>
    </cacheField>
  </cacheFields>
  <extLst>
    <ext xmlns:x14="http://schemas.microsoft.com/office/spreadsheetml/2009/9/main" uri="{725AE2AE-9491-48be-B2B4-4EB974FC3084}">
      <x14:pivotCacheDefinition pivotCacheId="210016119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s v="C4001"/>
    <x v="0"/>
    <n v="9321614178"/>
    <x v="0"/>
    <x v="0"/>
    <s v="MUMBAI"/>
    <s v="FLAT NO.12, SHANTI APARTEMENT ,MULUND(W)"/>
    <n v="400080"/>
    <x v="0"/>
    <s v="MAHARASHTRA"/>
  </r>
  <r>
    <s v="C4002"/>
    <x v="1"/>
    <n v="9432167810"/>
    <x v="1"/>
    <x v="1"/>
    <s v="MUMBAI"/>
    <s v="FLAT NO. 13, SHANTI NAGAR BHANDUP(W)"/>
    <n v="400078"/>
    <x v="1"/>
    <s v="MAHARASHTRA"/>
  </r>
  <r>
    <s v="C40023"/>
    <x v="2"/>
    <n v="9432167819"/>
    <x v="0"/>
    <x v="2"/>
    <s v="MUMBAI"/>
    <s v="FLAT NO. 13, SHANTI NAGAR BHANDUP(W)"/>
    <n v="400078"/>
    <x v="1"/>
    <s v="MAHARASHTRA"/>
  </r>
  <r>
    <s v="C40023"/>
    <x v="3"/>
    <n v="9432187819"/>
    <x v="0"/>
    <x v="3"/>
    <s v="MUMBAI"/>
    <s v="FLAT NO. 13, SHANTI NAGAR ANDHERI(W)"/>
    <n v="40708"/>
    <x v="2"/>
    <s v="MAHARASHTRA"/>
  </r>
  <r>
    <s v="C40024"/>
    <x v="4"/>
    <n v="9432187811"/>
    <x v="1"/>
    <x v="3"/>
    <s v="MUMBAI"/>
    <s v="FLAT NO. 13, SHANTI NAGAR ANDHERI(W)"/>
    <n v="40708"/>
    <x v="2"/>
    <s v="MAHARASHTRA"/>
  </r>
  <r>
    <s v="C40024"/>
    <x v="5"/>
    <n v="9432187811"/>
    <x v="0"/>
    <x v="3"/>
    <s v="MUMBAI"/>
    <s v="FLAT NO. 3 SAI KRUPA SOCIETY ANDHERI(E)"/>
    <n v="40708"/>
    <x v="2"/>
    <s v="MAHARASHTRA"/>
  </r>
  <r>
    <s v="C40025"/>
    <x v="6"/>
    <n v="9432187811"/>
    <x v="0"/>
    <x v="4"/>
    <s v="MUMBAI"/>
    <s v="FLAT NO. 3 SAI KRUPA SOCIETY ANDHERI(E)"/>
    <n v="40708"/>
    <x v="2"/>
    <s v="MAHARASHTRA"/>
  </r>
  <r>
    <s v="C40026"/>
    <x v="7"/>
    <n v="9432187911"/>
    <x v="1"/>
    <x v="5"/>
    <s v="MUMBAI"/>
    <s v="FLAT NO. 3 SAI KRUPA SOCIETY ANDHERI(E)"/>
    <n v="40708"/>
    <x v="2"/>
    <s v="MAHARASHTRA"/>
  </r>
  <r>
    <s v="C40027"/>
    <x v="8"/>
    <n v="8108127504"/>
    <x v="0"/>
    <x v="6"/>
    <s v="MUMBAI"/>
    <s v="FLAT NO.4, GANESH NAGAR , KANDIVALI(E)"/>
    <n v="40781"/>
    <x v="3"/>
    <s v="MAHARASHTRA"/>
  </r>
  <r>
    <s v="C40028"/>
    <x v="9"/>
    <n v="9702148506"/>
    <x v="1"/>
    <x v="7"/>
    <s v="MUMBAI"/>
    <s v="FLAT NO.4, GANESH NAGAR , KANDIVALI(E)"/>
    <n v="40781"/>
    <x v="3"/>
    <s v="MAHARASHTR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EA0C272-65FA-4829-B86A-239D1A95F85C}" name="PivotTable4"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B23:B24" firstHeaderRow="1" firstDataRow="1" firstDataCol="0"/>
  <pivotFields count="10">
    <pivotField showAll="0"/>
    <pivotField dataField="1" showAll="0">
      <items count="11">
        <item x="8"/>
        <item x="1"/>
        <item x="4"/>
        <item x="3"/>
        <item x="5"/>
        <item x="0"/>
        <item x="7"/>
        <item x="9"/>
        <item x="2"/>
        <item x="6"/>
        <item t="default"/>
      </items>
    </pivotField>
    <pivotField showAll="0"/>
    <pivotField showAll="0">
      <items count="3">
        <item x="0"/>
        <item x="1"/>
        <item t="default"/>
      </items>
    </pivotField>
    <pivotField showAll="0"/>
    <pivotField showAll="0"/>
    <pivotField showAll="0"/>
    <pivotField showAll="0"/>
    <pivotField showAll="0">
      <items count="5">
        <item x="1"/>
        <item x="0"/>
        <item x="2"/>
        <item x="3"/>
        <item t="default"/>
      </items>
    </pivotField>
    <pivotField showAll="0"/>
  </pivotFields>
  <rowItems count="1">
    <i/>
  </rowItems>
  <colItems count="1">
    <i/>
  </colItems>
  <dataFields count="1">
    <dataField name="Count of customer nam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11EDA1C-8EC8-465D-828E-E6CDEABAA038}" name="PivotTable3"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23:A24" firstHeaderRow="1" firstDataRow="1" firstDataCol="0"/>
  <pivotFields count="10">
    <pivotField showAll="0"/>
    <pivotField showAll="0"/>
    <pivotField showAll="0"/>
    <pivotField showAll="0">
      <items count="3">
        <item x="0"/>
        <item x="1"/>
        <item t="default"/>
      </items>
    </pivotField>
    <pivotField dataField="1" showAll="0"/>
    <pivotField showAll="0"/>
    <pivotField showAll="0"/>
    <pivotField showAll="0"/>
    <pivotField showAll="0">
      <items count="5">
        <item x="1"/>
        <item x="0"/>
        <item x="2"/>
        <item x="3"/>
        <item t="default"/>
      </items>
    </pivotField>
    <pivotField showAll="0"/>
  </pivotFields>
  <rowItems count="1">
    <i/>
  </rowItems>
  <colItems count="1">
    <i/>
  </colItems>
  <dataFields count="1">
    <dataField name="Sum of opening balance"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B9FE957-55A7-4D54-9518-172FF5EEE982}" name="PivotTable7"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E23:F28" firstHeaderRow="1" firstDataRow="1" firstDataCol="1"/>
  <pivotFields count="10">
    <pivotField showAll="0"/>
    <pivotField showAll="0"/>
    <pivotField showAll="0"/>
    <pivotField showAll="0">
      <items count="3">
        <item x="0"/>
        <item x="1"/>
        <item t="default"/>
      </items>
    </pivotField>
    <pivotField dataField="1" showAll="0"/>
    <pivotField showAll="0"/>
    <pivotField showAll="0"/>
    <pivotField showAll="0"/>
    <pivotField axis="axisRow" showAll="0">
      <items count="5">
        <item x="1"/>
        <item x="0"/>
        <item x="2"/>
        <item n="KAnDIVALI" x="3"/>
        <item t="default"/>
      </items>
    </pivotField>
    <pivotField showAll="0"/>
  </pivotFields>
  <rowFields count="1">
    <field x="8"/>
  </rowFields>
  <rowItems count="5">
    <i>
      <x/>
    </i>
    <i>
      <x v="1"/>
    </i>
    <i>
      <x v="2"/>
    </i>
    <i>
      <x v="3"/>
    </i>
    <i t="grand">
      <x/>
    </i>
  </rowItems>
  <colItems count="1">
    <i/>
  </colItems>
  <dataFields count="1">
    <dataField name="Sum of opening balance" fld="4"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BF8B918-F5D4-4121-8417-ECF37383E53E}" name="PivotTable5"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C23:D26" firstHeaderRow="1" firstDataRow="1" firstDataCol="1"/>
  <pivotFields count="10">
    <pivotField showAll="0"/>
    <pivotField showAll="0"/>
    <pivotField showAll="0"/>
    <pivotField axis="axisRow" showAll="0">
      <items count="3">
        <item x="0"/>
        <item x="1"/>
        <item t="default"/>
      </items>
    </pivotField>
    <pivotField dataField="1" showAll="0"/>
    <pivotField showAll="0"/>
    <pivotField showAll="0"/>
    <pivotField showAll="0"/>
    <pivotField showAll="0">
      <items count="5">
        <item x="1"/>
        <item x="0"/>
        <item x="2"/>
        <item x="3"/>
        <item t="default"/>
      </items>
    </pivotField>
    <pivotField showAll="0"/>
  </pivotFields>
  <rowFields count="1">
    <field x="3"/>
  </rowFields>
  <rowItems count="3">
    <i>
      <x/>
    </i>
    <i>
      <x v="1"/>
    </i>
    <i t="grand">
      <x/>
    </i>
  </rowItems>
  <colItems count="1">
    <i/>
  </colItems>
  <dataFields count="1">
    <dataField name="Sum of opening balance" fld="4" baseField="0" baseItem="0"/>
  </dataFields>
  <chartFormats count="3">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3" count="1" selected="0">
            <x v="0"/>
          </reference>
        </references>
      </pivotArea>
    </chartFormat>
    <chartFormat chart="5" format="6">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_c_Type" xr10:uid="{32EB8A1A-1E8B-4E72-A0C0-BAEA7B717424}" sourceName="a/c Type">
  <pivotTables>
    <pivotTable tabId="1" name="PivotTable5"/>
    <pivotTable tabId="1" name="PivotTable3"/>
    <pivotTable tabId="1" name="PivotTable4"/>
    <pivotTable tabId="1" name="PivotTable7"/>
  </pivotTables>
  <data>
    <tabular pivotCacheId="2100161192">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756E1C1E-B27B-4E56-9477-308617B13519}" sourceName="city">
  <pivotTables>
    <pivotTable tabId="1" name="PivotTable5"/>
    <pivotTable tabId="1" name="PivotTable3"/>
    <pivotTable tabId="1" name="PivotTable4"/>
    <pivotTable tabId="1" name="PivotTable7"/>
  </pivotTables>
  <data>
    <tabular pivotCacheId="2100161192">
      <items count="4">
        <i x="1" s="1"/>
        <i x="0"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c Type" xr10:uid="{BB1C953E-1FEA-4542-929E-8B0FA43F8044}" cache="Slicer_a_c_Type" caption="a/c Type" rowHeight="234950"/>
  <slicer name="city" xr10:uid="{1DBEEBB6-55BE-4D48-BD31-77580B57E2F1}" cache="Slicer_city" caption="city"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D7164BE-7855-4725-A50F-DB00ABAF5D4B}" name="Table1" displayName="Table1" ref="A1:J12" totalsRowCount="1" headerRowDxfId="21" dataDxfId="20">
  <autoFilter ref="A1:J11" xr:uid="{9E16D442-43C2-4F70-A76A-80F225E1582F}"/>
  <tableColumns count="10">
    <tableColumn id="1" xr3:uid="{981D6CB7-D59D-4E30-A11D-D4F6EAB4220D}" name="customer id" dataDxfId="19" totalsRowDxfId="9"/>
    <tableColumn id="2" xr3:uid="{9BF7D2D3-CCEB-4836-A578-67A201282135}" name="customer name" dataDxfId="18" totalsRowDxfId="8"/>
    <tableColumn id="3" xr3:uid="{2F67FA24-8651-4948-8781-8F69F207DDFC}" name="mobile no." dataDxfId="17" totalsRowDxfId="7"/>
    <tableColumn id="4" xr3:uid="{2CC38300-32CF-406D-BAD5-8B4AD6DB5580}" name="a/c Type" dataDxfId="16" totalsRowDxfId="6"/>
    <tableColumn id="5" xr3:uid="{680D3516-5D02-41F4-861A-3ECCDB290EE8}" name="opening balance" totalsRowFunction="custom" dataDxfId="15" totalsRowDxfId="5">
      <totalsRowFormula>SUM(Table1[opening balance])</totalsRowFormula>
    </tableColumn>
    <tableColumn id="6" xr3:uid="{A9F0DA9E-58AD-4A93-99B5-4B8216D1C6BE}" name="branch" dataDxfId="14" totalsRowDxfId="4"/>
    <tableColumn id="7" xr3:uid="{A04E8D6B-8059-4D6D-AEA4-7FC39A1DA4BD}" name="adress" dataDxfId="13" totalsRowDxfId="3"/>
    <tableColumn id="8" xr3:uid="{9D837190-614C-49B5-B94B-FD6936C984CA}" name="pincode" dataDxfId="12" totalsRowDxfId="2"/>
    <tableColumn id="9" xr3:uid="{CAC0AC7E-D93C-493B-9C0D-BBA3905B2BE4}" name="city" dataDxfId="11" totalsRowDxfId="1"/>
    <tableColumn id="10" xr3:uid="{F866D873-7B20-46B3-8CC8-36171F9832A2}" name="state" dataDxfId="10" totalsRowDxfId="0"/>
  </tableColumns>
  <tableStyleInfo name="TableStyleLight1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table" Target="../tables/table1.xml"/><Relationship Id="rId3" Type="http://schemas.openxmlformats.org/officeDocument/2006/relationships/pivotTable" Target="../pivotTables/pivotTable3.xml"/><Relationship Id="rId7" Type="http://schemas.openxmlformats.org/officeDocument/2006/relationships/ctrlProp" Target="../ctrlProps/ctrlProp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vmlDrawing" Target="../drawings/vmlDrawing1.v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C37655-9898-48A3-B14B-2942A1440F7B}">
  <sheetPr codeName="Sheet1"/>
  <dimension ref="A1:J28"/>
  <sheetViews>
    <sheetView workbookViewId="0">
      <selection activeCell="B30" sqref="B30"/>
    </sheetView>
  </sheetViews>
  <sheetFormatPr defaultRowHeight="14.4" x14ac:dyDescent="0.3"/>
  <cols>
    <col min="1" max="1" width="21.6640625" bestFit="1" customWidth="1"/>
    <col min="2" max="2" width="22.21875" bestFit="1" customWidth="1"/>
    <col min="3" max="3" width="12.5546875" bestFit="1" customWidth="1"/>
    <col min="4" max="4" width="21.6640625" bestFit="1" customWidth="1"/>
    <col min="5" max="5" width="12.5546875" bestFit="1" customWidth="1"/>
    <col min="6" max="6" width="21.6640625" bestFit="1" customWidth="1"/>
    <col min="7" max="7" width="39.77734375" customWidth="1"/>
    <col min="8" max="11" width="15.5546875" bestFit="1" customWidth="1"/>
    <col min="12" max="12" width="10.77734375" bestFit="1" customWidth="1"/>
  </cols>
  <sheetData>
    <row r="1" spans="1:10" x14ac:dyDescent="0.3">
      <c r="A1" s="1" t="s">
        <v>0</v>
      </c>
      <c r="B1" s="1" t="s">
        <v>1</v>
      </c>
      <c r="C1" s="1" t="s">
        <v>2</v>
      </c>
      <c r="D1" s="1" t="s">
        <v>3</v>
      </c>
      <c r="E1" s="1" t="s">
        <v>4</v>
      </c>
      <c r="F1" s="1" t="s">
        <v>5</v>
      </c>
      <c r="G1" s="1" t="s">
        <v>6</v>
      </c>
      <c r="H1" s="1" t="s">
        <v>7</v>
      </c>
      <c r="I1" s="1" t="s">
        <v>8</v>
      </c>
      <c r="J1" s="1" t="s">
        <v>9</v>
      </c>
    </row>
    <row r="2" spans="1:10" x14ac:dyDescent="0.3">
      <c r="A2" s="1" t="s">
        <v>10</v>
      </c>
      <c r="B2" s="1" t="s">
        <v>11</v>
      </c>
      <c r="C2" s="1">
        <v>9321614178</v>
      </c>
      <c r="D2" s="1" t="s">
        <v>12</v>
      </c>
      <c r="E2" s="1">
        <v>60000</v>
      </c>
      <c r="F2" s="1" t="s">
        <v>13</v>
      </c>
      <c r="G2" s="1" t="s">
        <v>14</v>
      </c>
      <c r="H2" s="1">
        <v>400080</v>
      </c>
      <c r="I2" s="1" t="s">
        <v>15</v>
      </c>
      <c r="J2" s="1" t="s">
        <v>16</v>
      </c>
    </row>
    <row r="3" spans="1:10" x14ac:dyDescent="0.3">
      <c r="A3" s="1" t="s">
        <v>17</v>
      </c>
      <c r="B3" s="1" t="s">
        <v>18</v>
      </c>
      <c r="C3" s="1">
        <v>9432167810</v>
      </c>
      <c r="D3" s="1" t="s">
        <v>19</v>
      </c>
      <c r="E3" s="1">
        <v>6000</v>
      </c>
      <c r="F3" s="1" t="s">
        <v>13</v>
      </c>
      <c r="G3" s="1" t="s">
        <v>20</v>
      </c>
      <c r="H3" s="1">
        <v>400078</v>
      </c>
      <c r="I3" s="1" t="s">
        <v>21</v>
      </c>
      <c r="J3" s="1" t="s">
        <v>16</v>
      </c>
    </row>
    <row r="4" spans="1:10" x14ac:dyDescent="0.3">
      <c r="A4" s="1" t="s">
        <v>22</v>
      </c>
      <c r="B4" s="1" t="s">
        <v>23</v>
      </c>
      <c r="C4" s="1">
        <v>9432167819</v>
      </c>
      <c r="D4" s="1" t="s">
        <v>12</v>
      </c>
      <c r="E4" s="1">
        <v>70000</v>
      </c>
      <c r="F4" s="1" t="s">
        <v>13</v>
      </c>
      <c r="G4" s="1" t="s">
        <v>20</v>
      </c>
      <c r="H4" s="1">
        <v>400078</v>
      </c>
      <c r="I4" s="1" t="s">
        <v>21</v>
      </c>
      <c r="J4" s="1" t="s">
        <v>16</v>
      </c>
    </row>
    <row r="5" spans="1:10" x14ac:dyDescent="0.3">
      <c r="A5" s="1" t="s">
        <v>22</v>
      </c>
      <c r="B5" s="1" t="s">
        <v>24</v>
      </c>
      <c r="C5" s="1">
        <v>9432187819</v>
      </c>
      <c r="D5" s="1" t="s">
        <v>12</v>
      </c>
      <c r="E5" s="1">
        <v>100000</v>
      </c>
      <c r="F5" s="1" t="s">
        <v>13</v>
      </c>
      <c r="G5" s="1" t="s">
        <v>25</v>
      </c>
      <c r="H5" s="1">
        <v>40708</v>
      </c>
      <c r="I5" s="1" t="s">
        <v>26</v>
      </c>
      <c r="J5" s="1" t="s">
        <v>16</v>
      </c>
    </row>
    <row r="6" spans="1:10" x14ac:dyDescent="0.3">
      <c r="A6" s="1" t="s">
        <v>27</v>
      </c>
      <c r="B6" s="1" t="s">
        <v>28</v>
      </c>
      <c r="C6" s="1">
        <v>9432187811</v>
      </c>
      <c r="D6" s="1" t="s">
        <v>19</v>
      </c>
      <c r="E6" s="1">
        <v>100000</v>
      </c>
      <c r="F6" s="1" t="s">
        <v>13</v>
      </c>
      <c r="G6" s="1" t="s">
        <v>25</v>
      </c>
      <c r="H6" s="1">
        <v>40708</v>
      </c>
      <c r="I6" s="1" t="s">
        <v>26</v>
      </c>
      <c r="J6" s="1" t="s">
        <v>16</v>
      </c>
    </row>
    <row r="7" spans="1:10" x14ac:dyDescent="0.3">
      <c r="A7" s="1" t="s">
        <v>27</v>
      </c>
      <c r="B7" s="1" t="s">
        <v>29</v>
      </c>
      <c r="C7" s="1">
        <v>9432187811</v>
      </c>
      <c r="D7" s="1" t="s">
        <v>12</v>
      </c>
      <c r="E7" s="1">
        <v>100000</v>
      </c>
      <c r="F7" s="1" t="s">
        <v>13</v>
      </c>
      <c r="G7" s="1" t="s">
        <v>30</v>
      </c>
      <c r="H7" s="1">
        <v>40708</v>
      </c>
      <c r="I7" s="1" t="s">
        <v>26</v>
      </c>
      <c r="J7" s="1" t="s">
        <v>16</v>
      </c>
    </row>
    <row r="8" spans="1:10" x14ac:dyDescent="0.3">
      <c r="A8" s="1" t="s">
        <v>31</v>
      </c>
      <c r="B8" s="1" t="s">
        <v>32</v>
      </c>
      <c r="C8" s="1">
        <v>9432187811</v>
      </c>
      <c r="D8" s="1" t="s">
        <v>12</v>
      </c>
      <c r="E8" s="1">
        <v>20000</v>
      </c>
      <c r="F8" s="1" t="s">
        <v>13</v>
      </c>
      <c r="G8" s="1" t="s">
        <v>30</v>
      </c>
      <c r="H8" s="1">
        <v>40708</v>
      </c>
      <c r="I8" s="1" t="s">
        <v>26</v>
      </c>
      <c r="J8" s="1" t="s">
        <v>16</v>
      </c>
    </row>
    <row r="9" spans="1:10" x14ac:dyDescent="0.3">
      <c r="A9" s="1" t="s">
        <v>33</v>
      </c>
      <c r="B9" s="1" t="s">
        <v>34</v>
      </c>
      <c r="C9" s="1">
        <v>9432187911</v>
      </c>
      <c r="D9" s="1" t="s">
        <v>19</v>
      </c>
      <c r="E9" s="1">
        <v>200000</v>
      </c>
      <c r="F9" s="1" t="s">
        <v>13</v>
      </c>
      <c r="G9" s="1" t="s">
        <v>30</v>
      </c>
      <c r="H9" s="1">
        <v>40708</v>
      </c>
      <c r="I9" s="1" t="s">
        <v>26</v>
      </c>
      <c r="J9" s="1" t="s">
        <v>16</v>
      </c>
    </row>
    <row r="10" spans="1:10" x14ac:dyDescent="0.3">
      <c r="A10" s="1" t="s">
        <v>35</v>
      </c>
      <c r="B10" s="1" t="s">
        <v>36</v>
      </c>
      <c r="C10" s="1">
        <v>8108127504</v>
      </c>
      <c r="D10" s="1" t="s">
        <v>12</v>
      </c>
      <c r="E10" s="1">
        <v>250000</v>
      </c>
      <c r="F10" s="1" t="s">
        <v>13</v>
      </c>
      <c r="G10" s="1" t="s">
        <v>37</v>
      </c>
      <c r="H10" s="1">
        <v>40781</v>
      </c>
      <c r="I10" s="1" t="s">
        <v>38</v>
      </c>
      <c r="J10" s="1" t="s">
        <v>16</v>
      </c>
    </row>
    <row r="11" spans="1:10" x14ac:dyDescent="0.3">
      <c r="A11" s="1" t="s">
        <v>39</v>
      </c>
      <c r="B11" s="1" t="s">
        <v>40</v>
      </c>
      <c r="C11" s="1">
        <v>9702148506</v>
      </c>
      <c r="D11" s="1" t="s">
        <v>19</v>
      </c>
      <c r="E11" s="1">
        <v>25000</v>
      </c>
      <c r="F11" s="1" t="s">
        <v>13</v>
      </c>
      <c r="G11" s="1" t="s">
        <v>37</v>
      </c>
      <c r="H11" s="1">
        <v>40781</v>
      </c>
      <c r="I11" s="1" t="s">
        <v>38</v>
      </c>
      <c r="J11" s="1" t="s">
        <v>16</v>
      </c>
    </row>
    <row r="12" spans="1:10" x14ac:dyDescent="0.3">
      <c r="A12" s="1"/>
      <c r="B12" s="1"/>
      <c r="C12" s="1"/>
      <c r="D12" s="1"/>
      <c r="E12" s="1">
        <f>SUM(Table1[opening balance])</f>
        <v>931000</v>
      </c>
      <c r="F12" s="1"/>
      <c r="G12" s="1"/>
      <c r="H12" s="1"/>
      <c r="I12" s="1"/>
      <c r="J12" s="1"/>
    </row>
    <row r="22" spans="1:6" x14ac:dyDescent="0.3">
      <c r="A22" t="s">
        <v>44</v>
      </c>
      <c r="B22" t="s">
        <v>45</v>
      </c>
      <c r="C22" t="s">
        <v>47</v>
      </c>
      <c r="E22" t="s">
        <v>48</v>
      </c>
    </row>
    <row r="23" spans="1:6" x14ac:dyDescent="0.3">
      <c r="A23" t="s">
        <v>43</v>
      </c>
      <c r="B23" t="s">
        <v>46</v>
      </c>
      <c r="C23" s="2" t="s">
        <v>41</v>
      </c>
      <c r="D23" t="s">
        <v>43</v>
      </c>
      <c r="E23" s="2" t="s">
        <v>41</v>
      </c>
      <c r="F23" t="s">
        <v>43</v>
      </c>
    </row>
    <row r="24" spans="1:6" x14ac:dyDescent="0.3">
      <c r="A24" s="4">
        <v>931000</v>
      </c>
      <c r="B24" s="4">
        <v>10</v>
      </c>
      <c r="C24" s="3" t="s">
        <v>12</v>
      </c>
      <c r="D24" s="4">
        <v>600000</v>
      </c>
      <c r="E24" s="3" t="s">
        <v>21</v>
      </c>
      <c r="F24" s="4">
        <v>76000</v>
      </c>
    </row>
    <row r="25" spans="1:6" x14ac:dyDescent="0.3">
      <c r="C25" s="3" t="s">
        <v>19</v>
      </c>
      <c r="D25" s="4">
        <v>331000</v>
      </c>
      <c r="E25" s="3" t="s">
        <v>15</v>
      </c>
      <c r="F25" s="4">
        <v>60000</v>
      </c>
    </row>
    <row r="26" spans="1:6" x14ac:dyDescent="0.3">
      <c r="C26" s="3" t="s">
        <v>42</v>
      </c>
      <c r="D26" s="4">
        <v>931000</v>
      </c>
      <c r="E26" s="3" t="s">
        <v>26</v>
      </c>
      <c r="F26" s="4">
        <v>520000</v>
      </c>
    </row>
    <row r="27" spans="1:6" x14ac:dyDescent="0.3">
      <c r="E27" s="3" t="s">
        <v>50</v>
      </c>
      <c r="F27" s="4">
        <v>275000</v>
      </c>
    </row>
    <row r="28" spans="1:6" x14ac:dyDescent="0.3">
      <c r="E28" s="3" t="s">
        <v>42</v>
      </c>
      <c r="F28" s="4">
        <v>931000</v>
      </c>
    </row>
  </sheetData>
  <pageMargins left="0.7" right="0.7" top="0.75" bottom="0.75" header="0.3" footer="0.3"/>
  <drawing r:id="rId5"/>
  <legacyDrawing r:id="rId6"/>
  <mc:AlternateContent xmlns:mc="http://schemas.openxmlformats.org/markup-compatibility/2006">
    <mc:Choice Requires="x14">
      <controls>
        <mc:AlternateContent xmlns:mc="http://schemas.openxmlformats.org/markup-compatibility/2006">
          <mc:Choice Requires="x14">
            <control shapeId="1029" r:id="rId7" name="Button 5">
              <controlPr defaultSize="0" print="0" autoFill="0" autoPict="0" macro="[0]!Button5_Click">
                <anchor moveWithCells="1" sizeWithCells="1">
                  <from>
                    <xdr:col>1</xdr:col>
                    <xdr:colOff>396240</xdr:colOff>
                    <xdr:row>14</xdr:row>
                    <xdr:rowOff>7620</xdr:rowOff>
                  </from>
                  <to>
                    <xdr:col>3</xdr:col>
                    <xdr:colOff>205740</xdr:colOff>
                    <xdr:row>17</xdr:row>
                    <xdr:rowOff>91440</xdr:rowOff>
                  </to>
                </anchor>
              </controlPr>
            </control>
          </mc:Choice>
        </mc:AlternateContent>
      </controls>
    </mc:Choice>
  </mc:AlternateContent>
  <tableParts count="1">
    <tablePart r:id="rId8"/>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9737A7-34D0-4D7C-96A2-0BF683177094}">
  <sheetPr codeName="Sheet2"/>
  <dimension ref="A1:R2"/>
  <sheetViews>
    <sheetView showGridLines="0" tabSelected="1" topLeftCell="A19" workbookViewId="0">
      <selection activeCell="F38" sqref="F38"/>
    </sheetView>
  </sheetViews>
  <sheetFormatPr defaultRowHeight="14.4" x14ac:dyDescent="0.3"/>
  <cols>
    <col min="1" max="1" width="12.5546875" bestFit="1" customWidth="1"/>
    <col min="2" max="2" width="21.6640625" bestFit="1" customWidth="1"/>
    <col min="4" max="4" width="12.5546875" bestFit="1" customWidth="1"/>
    <col min="5" max="5" width="21.6640625" bestFit="1" customWidth="1"/>
  </cols>
  <sheetData>
    <row r="1" spans="1:18" ht="14.4" customHeight="1" x14ac:dyDescent="0.3">
      <c r="A1" s="5" t="s">
        <v>49</v>
      </c>
      <c r="B1" s="5"/>
      <c r="C1" s="5"/>
      <c r="D1" s="5"/>
      <c r="E1" s="5"/>
      <c r="F1" s="5"/>
      <c r="G1" s="5"/>
      <c r="H1" s="5"/>
      <c r="I1" s="5"/>
      <c r="J1" s="5"/>
      <c r="K1" s="5"/>
      <c r="L1" s="5"/>
      <c r="M1" s="5"/>
      <c r="N1" s="5"/>
      <c r="O1" s="5"/>
      <c r="P1" s="5"/>
      <c r="Q1" s="5"/>
      <c r="R1" s="5"/>
    </row>
    <row r="2" spans="1:18" ht="14.4" customHeight="1" x14ac:dyDescent="0.3">
      <c r="A2" s="5"/>
      <c r="B2" s="5"/>
      <c r="C2" s="5"/>
      <c r="D2" s="5"/>
      <c r="E2" s="5"/>
      <c r="F2" s="5"/>
      <c r="G2" s="5"/>
      <c r="H2" s="5"/>
      <c r="I2" s="5"/>
      <c r="J2" s="5"/>
      <c r="K2" s="5"/>
      <c r="L2" s="5"/>
      <c r="M2" s="5"/>
      <c r="N2" s="5"/>
      <c r="O2" s="5"/>
      <c r="P2" s="5"/>
      <c r="Q2" s="5"/>
      <c r="R2" s="5"/>
    </row>
  </sheetData>
  <mergeCells count="1">
    <mergeCell ref="A1:R2"/>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MKCL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2026-02-05T05:12:54Z</dcterms:created>
  <dcterms:modified xsi:type="dcterms:W3CDTF">2026-02-09T05:31:19Z</dcterms:modified>
</cp:coreProperties>
</file>